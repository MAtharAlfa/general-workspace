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al1 &amp; 2" sheetId="1" r:id="rId5"/>
    <sheet state="visible" name="Soal 3" sheetId="2" r:id="rId6"/>
    <sheet state="visible" name="Soal 4" sheetId="3" r:id="rId7"/>
  </sheets>
  <definedNames>
    <definedName name="TESTDERIV">LAMBDA(x, 2*x-5)</definedName>
    <definedName name="GALAT">LAMBDA(xold, xnew, abs((xnew-xold)/xnew))</definedName>
    <definedName name="FUNCSOAL4_DERIV">LAMBDA(x, (((3*x^2+8)*(x+2)-x^3+8)/(x^2+4*x+4))-3)</definedName>
    <definedName name="SECANT">LAMBDA(xa, ya, xb, yb, xb-(yb*(xa-xb)/(ya-yb)))</definedName>
    <definedName name="MY_FUNCTION1">LAMBDA(x, -15+4*x-9*x^2+x^3+7*x^4-3*x^5-5*x^6+2*x^7+x^8)</definedName>
    <definedName name="RAPHSON">LAMBDA(x, px, px_deriv, x-(px/px_deriv))</definedName>
    <definedName name="FUNCSOAL4">LAMBDA(x, x^2-5*x+3)</definedName>
    <definedName name="MY_FUNCTION2">LAMBDA(x, 94+45*x+27*x^2+13*x^3+3*x^4+3*x^5+4*x^7+x^8)</definedName>
  </definedNames>
  <calcPr/>
</workbook>
</file>

<file path=xl/sharedStrings.xml><?xml version="1.0" encoding="utf-8"?>
<sst xmlns="http://schemas.openxmlformats.org/spreadsheetml/2006/main" count="33" uniqueCount="17">
  <si>
    <t>P(x) = -15 + 4x - 9x^2 + x^3 + 7x^4 -3x^5-5X^6+2X^7+X^8</t>
  </si>
  <si>
    <t>tes</t>
  </si>
  <si>
    <t>i</t>
  </si>
  <si>
    <t>k</t>
  </si>
  <si>
    <t>xi</t>
  </si>
  <si>
    <t>ak</t>
  </si>
  <si>
    <t>P(x)</t>
  </si>
  <si>
    <t>P'(x)</t>
  </si>
  <si>
    <t>bk</t>
  </si>
  <si>
    <t>xi+1</t>
  </si>
  <si>
    <t>galat</t>
  </si>
  <si>
    <t>status</t>
  </si>
  <si>
    <t>-</t>
  </si>
  <si>
    <t>ck</t>
  </si>
  <si>
    <t>secant</t>
  </si>
  <si>
    <t>f(x)</t>
  </si>
  <si>
    <t>f(x+1)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</si>
</sst>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1</xdr:row>
      <xdr:rowOff>104775</xdr:rowOff>
    </xdr:from>
    <xdr:ext cx="3295650" cy="439102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828675</xdr:colOff>
      <xdr:row>1</xdr:row>
      <xdr:rowOff>161925</xdr:rowOff>
    </xdr:from>
    <xdr:ext cx="3295650" cy="4391025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1" t="s">
        <v>0</v>
      </c>
    </row>
    <row r="6">
      <c r="B6" s="1" t="s">
        <v>3</v>
      </c>
      <c r="C6" s="1" t="s">
        <v>5</v>
      </c>
      <c r="D6" s="1" t="s">
        <v>8</v>
      </c>
      <c r="F6" s="1" t="s">
        <v>2</v>
      </c>
      <c r="G6" s="1" t="s">
        <v>4</v>
      </c>
      <c r="H6" s="1" t="s">
        <v>6</v>
      </c>
      <c r="I6" s="1" t="s">
        <v>7</v>
      </c>
      <c r="J6" s="1" t="s">
        <v>9</v>
      </c>
      <c r="K6" s="1" t="s">
        <v>10</v>
      </c>
    </row>
    <row r="7">
      <c r="B7" s="1">
        <v>8.0</v>
      </c>
      <c r="C7" s="1">
        <v>1.0</v>
      </c>
      <c r="D7" s="1">
        <v>1.0</v>
      </c>
      <c r="F7" s="1">
        <v>1.0</v>
      </c>
      <c r="G7" s="1">
        <v>2.0</v>
      </c>
      <c r="H7" s="2">
        <f t="shared" ref="H7:H9" si="1">MY_FUNCTION1(G7)</f>
        <v>173</v>
      </c>
      <c r="I7" s="2">
        <f t="shared" ref="I7:I9" si="2">MY_FUNCTION2(G7)</f>
        <v>1308</v>
      </c>
      <c r="J7" s="2">
        <f t="shared" ref="J7:J9" si="3">RAPHSON(G7,H7,I7)</f>
        <v>1.867737003</v>
      </c>
      <c r="K7" s="1" t="s">
        <v>12</v>
      </c>
    </row>
    <row r="8">
      <c r="B8" s="1">
        <v>7.0</v>
      </c>
      <c r="C8" s="1">
        <v>2.0</v>
      </c>
      <c r="D8" s="2">
        <f t="shared" ref="D8:D15" si="4">C8+2*D7</f>
        <v>4</v>
      </c>
      <c r="F8" s="1">
        <v>2.0</v>
      </c>
      <c r="G8" s="2">
        <f>J7</f>
        <v>1.867737003</v>
      </c>
      <c r="H8" s="2">
        <f t="shared" si="1"/>
        <v>78.99713577</v>
      </c>
      <c r="I8" s="2">
        <f t="shared" si="2"/>
        <v>926.8757907</v>
      </c>
      <c r="J8" s="2">
        <f t="shared" si="3"/>
        <v>1.782507529</v>
      </c>
      <c r="K8" s="2">
        <f t="shared" ref="K8:K9" si="5">GALAT(J7,J8)</f>
        <v>0.04781436949</v>
      </c>
    </row>
    <row r="9">
      <c r="B9" s="1">
        <v>6.0</v>
      </c>
      <c r="C9" s="1">
        <v>-5.0</v>
      </c>
      <c r="D9" s="2">
        <f t="shared" si="4"/>
        <v>3</v>
      </c>
      <c r="F9" s="1">
        <v>3.0</v>
      </c>
      <c r="G9" s="1">
        <v>3.0</v>
      </c>
      <c r="H9" s="2">
        <f t="shared" si="1"/>
        <v>7071</v>
      </c>
      <c r="I9" s="2">
        <f t="shared" si="2"/>
        <v>17104</v>
      </c>
      <c r="J9" s="2">
        <f t="shared" si="3"/>
        <v>2.586587933</v>
      </c>
      <c r="K9" s="2">
        <f t="shared" si="5"/>
        <v>0.3108652882</v>
      </c>
    </row>
    <row r="10">
      <c r="B10" s="1">
        <v>5.0</v>
      </c>
      <c r="C10" s="1">
        <v>-3.0</v>
      </c>
      <c r="D10" s="2">
        <f t="shared" si="4"/>
        <v>3</v>
      </c>
    </row>
    <row r="11">
      <c r="B11" s="1">
        <v>4.0</v>
      </c>
      <c r="C11" s="1">
        <v>7.0</v>
      </c>
      <c r="D11" s="2">
        <f t="shared" si="4"/>
        <v>13</v>
      </c>
    </row>
    <row r="12">
      <c r="B12" s="1">
        <v>3.0</v>
      </c>
      <c r="C12" s="1">
        <v>1.0</v>
      </c>
      <c r="D12" s="2">
        <f t="shared" si="4"/>
        <v>27</v>
      </c>
    </row>
    <row r="13">
      <c r="B13" s="1">
        <v>2.0</v>
      </c>
      <c r="C13" s="1">
        <v>-9.0</v>
      </c>
      <c r="D13" s="2">
        <f t="shared" si="4"/>
        <v>45</v>
      </c>
    </row>
    <row r="14">
      <c r="B14" s="1">
        <v>1.0</v>
      </c>
      <c r="C14" s="1">
        <v>4.0</v>
      </c>
      <c r="D14" s="2">
        <f t="shared" si="4"/>
        <v>94</v>
      </c>
    </row>
    <row r="15">
      <c r="B15" s="1">
        <v>0.0</v>
      </c>
      <c r="C15" s="1">
        <v>-15.0</v>
      </c>
      <c r="D15" s="2">
        <f t="shared" si="4"/>
        <v>173</v>
      </c>
    </row>
    <row r="17">
      <c r="B17" s="1" t="s">
        <v>3</v>
      </c>
      <c r="C17" s="1" t="s">
        <v>8</v>
      </c>
      <c r="D17" s="1" t="s">
        <v>13</v>
      </c>
    </row>
    <row r="18">
      <c r="B18" s="1">
        <v>7.0</v>
      </c>
      <c r="C18" s="1">
        <v>1.0</v>
      </c>
      <c r="D18" s="1">
        <v>1.0</v>
      </c>
    </row>
    <row r="19">
      <c r="B19" s="1">
        <v>6.0</v>
      </c>
      <c r="C19" s="1">
        <v>4.0</v>
      </c>
      <c r="D19" s="2">
        <f t="shared" ref="D19:D25" si="6">C19+2*D18</f>
        <v>6</v>
      </c>
    </row>
    <row r="20">
      <c r="B20" s="1">
        <v>5.0</v>
      </c>
      <c r="C20" s="1">
        <v>3.0</v>
      </c>
      <c r="D20" s="2">
        <f t="shared" si="6"/>
        <v>15</v>
      </c>
    </row>
    <row r="21">
      <c r="B21" s="1">
        <v>4.0</v>
      </c>
      <c r="C21" s="1">
        <v>3.0</v>
      </c>
      <c r="D21" s="2">
        <f t="shared" si="6"/>
        <v>33</v>
      </c>
    </row>
    <row r="22">
      <c r="B22" s="1">
        <v>3.0</v>
      </c>
      <c r="C22" s="1">
        <v>13.0</v>
      </c>
      <c r="D22" s="2">
        <f t="shared" si="6"/>
        <v>79</v>
      </c>
    </row>
    <row r="23">
      <c r="B23" s="1">
        <v>2.0</v>
      </c>
      <c r="C23" s="1">
        <v>27.0</v>
      </c>
      <c r="D23" s="2">
        <f t="shared" si="6"/>
        <v>185</v>
      </c>
    </row>
    <row r="24">
      <c r="B24" s="1">
        <v>1.0</v>
      </c>
      <c r="C24" s="1">
        <v>45.0</v>
      </c>
      <c r="D24" s="2">
        <f t="shared" si="6"/>
        <v>415</v>
      </c>
    </row>
    <row r="25">
      <c r="B25" s="1">
        <v>0.0</v>
      </c>
      <c r="C25" s="1">
        <v>94.0</v>
      </c>
      <c r="D25" s="2">
        <f t="shared" si="6"/>
        <v>924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I3" s="1" t="s">
        <v>1</v>
      </c>
    </row>
    <row r="4">
      <c r="B4" s="1" t="s">
        <v>2</v>
      </c>
      <c r="C4" s="1" t="s">
        <v>4</v>
      </c>
      <c r="D4" s="1" t="s">
        <v>6</v>
      </c>
      <c r="E4" s="1" t="s">
        <v>7</v>
      </c>
      <c r="F4" s="1" t="s">
        <v>9</v>
      </c>
      <c r="G4" s="1" t="s">
        <v>10</v>
      </c>
      <c r="H4" s="1" t="s">
        <v>11</v>
      </c>
      <c r="I4" s="2">
        <f>TESTDERIV(101)</f>
        <v>197</v>
      </c>
    </row>
    <row r="5">
      <c r="B5" s="1">
        <v>1.0</v>
      </c>
      <c r="C5" s="1">
        <v>-2.0</v>
      </c>
      <c r="D5" s="2">
        <f t="shared" ref="D5:D10" si="1">FUNCSOAL4(C5)</f>
        <v>17</v>
      </c>
      <c r="E5" s="2">
        <f t="shared" ref="E5:E10" si="2">TESTDERIV(C5)</f>
        <v>-9</v>
      </c>
      <c r="F5" s="2">
        <f t="shared" ref="F5:F10" si="3">RAPHSON(C5,D5,E5)</f>
        <v>-0.1111111111</v>
      </c>
      <c r="G5" s="1" t="s">
        <v>12</v>
      </c>
      <c r="H5" s="2" t="str">
        <f t="shared" ref="H5:H10" si="4">if(G5&lt;=10^(-8),"STOP","LANJUT")</f>
        <v>LANJUT</v>
      </c>
    </row>
    <row r="6">
      <c r="B6" s="1">
        <v>2.0</v>
      </c>
      <c r="C6" s="2">
        <f t="shared" ref="C6:C10" si="5">F5</f>
        <v>-0.1111111111</v>
      </c>
      <c r="D6" s="2">
        <f t="shared" si="1"/>
        <v>3.567901235</v>
      </c>
      <c r="E6" s="2">
        <f t="shared" si="2"/>
        <v>-5.222222222</v>
      </c>
      <c r="F6" s="2">
        <f t="shared" si="3"/>
        <v>0.5721040189</v>
      </c>
      <c r="G6" s="2">
        <f t="shared" ref="G6:G10" si="6">GALAT(C6,F6)</f>
        <v>1.194214876</v>
      </c>
      <c r="H6" s="2" t="str">
        <f t="shared" si="4"/>
        <v>LANJUT</v>
      </c>
    </row>
    <row r="7">
      <c r="B7" s="1">
        <v>3.0</v>
      </c>
      <c r="C7" s="2">
        <f t="shared" si="5"/>
        <v>0.5721040189</v>
      </c>
      <c r="D7" s="2">
        <f t="shared" si="1"/>
        <v>0.4667829139</v>
      </c>
      <c r="E7" s="2">
        <f t="shared" si="2"/>
        <v>-3.855791962</v>
      </c>
      <c r="F7" s="2">
        <f t="shared" si="3"/>
        <v>0.6931642106</v>
      </c>
      <c r="G7" s="2">
        <f t="shared" si="6"/>
        <v>0.1746486472</v>
      </c>
      <c r="H7" s="2" t="str">
        <f t="shared" si="4"/>
        <v>LANJUT</v>
      </c>
    </row>
    <row r="8">
      <c r="B8" s="1">
        <v>4.0</v>
      </c>
      <c r="C8" s="2">
        <f t="shared" si="5"/>
        <v>0.6931642106</v>
      </c>
      <c r="D8" s="2">
        <f t="shared" si="1"/>
        <v>0.01465557</v>
      </c>
      <c r="E8" s="2">
        <f t="shared" si="2"/>
        <v>-3.613671579</v>
      </c>
      <c r="F8" s="2">
        <f t="shared" si="3"/>
        <v>0.6972198005</v>
      </c>
      <c r="G8" s="2">
        <f t="shared" si="6"/>
        <v>0.005816802549</v>
      </c>
      <c r="H8" s="2" t="str">
        <f t="shared" si="4"/>
        <v>LANJUT</v>
      </c>
    </row>
    <row r="9">
      <c r="B9" s="1">
        <v>5.0</v>
      </c>
      <c r="C9" s="2">
        <f t="shared" si="5"/>
        <v>0.6972198005</v>
      </c>
      <c r="D9" s="2">
        <f t="shared" si="1"/>
        <v>0.00001644780954</v>
      </c>
      <c r="E9" s="2">
        <f t="shared" si="2"/>
        <v>-3.605560399</v>
      </c>
      <c r="F9" s="2">
        <f t="shared" si="3"/>
        <v>0.6972243623</v>
      </c>
      <c r="G9" s="2">
        <f t="shared" si="6"/>
        <v>0.000006542786358</v>
      </c>
      <c r="H9" s="2" t="str">
        <f t="shared" si="4"/>
        <v>LANJUT</v>
      </c>
    </row>
    <row r="10">
      <c r="B10" s="1">
        <v>6.0</v>
      </c>
      <c r="C10" s="2">
        <f t="shared" si="5"/>
        <v>0.6972243623</v>
      </c>
      <c r="D10" s="2">
        <f t="shared" si="1"/>
        <v>0</v>
      </c>
      <c r="E10" s="2">
        <f t="shared" si="2"/>
        <v>-3.605551275</v>
      </c>
      <c r="F10" s="2">
        <f t="shared" si="3"/>
        <v>0.6972243623</v>
      </c>
      <c r="G10" s="2">
        <f t="shared" si="6"/>
        <v>0</v>
      </c>
      <c r="H10" s="2" t="str">
        <f t="shared" si="4"/>
        <v>STOP</v>
      </c>
    </row>
    <row r="14">
      <c r="B14" s="1" t="s">
        <v>14</v>
      </c>
    </row>
    <row r="15">
      <c r="B15" s="1" t="s">
        <v>2</v>
      </c>
      <c r="C15" s="1" t="s">
        <v>4</v>
      </c>
      <c r="D15" s="1" t="s">
        <v>9</v>
      </c>
      <c r="E15" s="1" t="s">
        <v>15</v>
      </c>
      <c r="F15" s="1" t="s">
        <v>16</v>
      </c>
      <c r="G15" s="1" t="s">
        <v>9</v>
      </c>
      <c r="H15" s="1" t="s">
        <v>10</v>
      </c>
      <c r="I15" s="1" t="s">
        <v>11</v>
      </c>
    </row>
    <row r="16">
      <c r="B16" s="1">
        <v>1.0</v>
      </c>
      <c r="C16" s="1">
        <v>-2.0</v>
      </c>
      <c r="D16" s="1">
        <v>0.0</v>
      </c>
      <c r="E16" s="2">
        <f t="shared" ref="E16:F16" si="7">FUNCSOAL4(C16)</f>
        <v>17</v>
      </c>
      <c r="F16" s="2">
        <f t="shared" si="7"/>
        <v>3</v>
      </c>
      <c r="G16" s="2">
        <f t="shared" ref="G16:G22" si="9">SECANT(C16,E16,D16,F16)</f>
        <v>0.4285714286</v>
      </c>
      <c r="H16" s="1" t="s">
        <v>12</v>
      </c>
      <c r="I16" s="2" t="str">
        <f t="shared" ref="I16:I22" si="10">if(H16&lt;=10^(-8),"STOP","LANJUT")</f>
        <v>LANJUT</v>
      </c>
    </row>
    <row r="17">
      <c r="B17" s="1">
        <v>2.0</v>
      </c>
      <c r="C17" s="2">
        <f t="shared" ref="C17:C22" si="11">D16</f>
        <v>0</v>
      </c>
      <c r="D17" s="2">
        <f t="shared" ref="D17:D22" si="12">G16</f>
        <v>0.4285714286</v>
      </c>
      <c r="E17" s="2">
        <f t="shared" ref="E17:F17" si="8">FUNCSOAL4(C17)</f>
        <v>3</v>
      </c>
      <c r="F17" s="2">
        <f t="shared" si="8"/>
        <v>1.040816327</v>
      </c>
      <c r="G17" s="2">
        <f t="shared" si="9"/>
        <v>0.65625</v>
      </c>
      <c r="H17" s="2">
        <f t="shared" ref="H17:H22" si="14">GALAT(G17,G16)</f>
        <v>0.53125</v>
      </c>
      <c r="I17" s="2" t="str">
        <f t="shared" si="10"/>
        <v>LANJUT</v>
      </c>
    </row>
    <row r="18">
      <c r="B18" s="1">
        <v>3.0</v>
      </c>
      <c r="C18" s="2">
        <f t="shared" si="11"/>
        <v>0.4285714286</v>
      </c>
      <c r="D18" s="2">
        <f t="shared" si="12"/>
        <v>0.65625</v>
      </c>
      <c r="E18" s="2">
        <f t="shared" ref="E18:F18" si="13">FUNCSOAL4(C18)</f>
        <v>1.040816327</v>
      </c>
      <c r="F18" s="2">
        <f t="shared" si="13"/>
        <v>0.1494140625</v>
      </c>
      <c r="G18" s="2">
        <f t="shared" si="9"/>
        <v>0.6944127708</v>
      </c>
      <c r="H18" s="2">
        <f t="shared" si="14"/>
        <v>0.05815279361</v>
      </c>
      <c r="I18" s="2" t="str">
        <f t="shared" si="10"/>
        <v>LANJUT</v>
      </c>
    </row>
    <row r="19">
      <c r="B19" s="1">
        <v>4.0</v>
      </c>
      <c r="C19" s="2">
        <f t="shared" si="11"/>
        <v>0.65625</v>
      </c>
      <c r="D19" s="2">
        <f t="shared" si="12"/>
        <v>0.6944127708</v>
      </c>
      <c r="E19" s="2">
        <f t="shared" ref="E19:F19" si="15">FUNCSOAL4(C19)</f>
        <v>0.1494140625</v>
      </c>
      <c r="F19" s="2">
        <f t="shared" si="15"/>
        <v>0.01014524222</v>
      </c>
      <c r="G19" s="2">
        <f t="shared" si="9"/>
        <v>0.697192794</v>
      </c>
      <c r="H19" s="2">
        <f t="shared" si="14"/>
        <v>0.004003416025</v>
      </c>
      <c r="I19" s="2" t="str">
        <f t="shared" si="10"/>
        <v>LANJUT</v>
      </c>
    </row>
    <row r="20">
      <c r="B20" s="1">
        <v>5.0</v>
      </c>
      <c r="C20" s="2">
        <f t="shared" si="11"/>
        <v>0.6944127708</v>
      </c>
      <c r="D20" s="2">
        <f t="shared" si="12"/>
        <v>0.697192794</v>
      </c>
      <c r="E20" s="2">
        <f t="shared" ref="E20:F20" si="16">FUNCSOAL4(C20)</f>
        <v>0.01014524222</v>
      </c>
      <c r="F20" s="2">
        <f t="shared" si="16"/>
        <v>0.0001138219179</v>
      </c>
      <c r="G20" s="2">
        <f t="shared" si="9"/>
        <v>0.6972243377</v>
      </c>
      <c r="H20" s="2">
        <f t="shared" si="14"/>
        <v>0.00004524379282</v>
      </c>
      <c r="I20" s="2" t="str">
        <f t="shared" si="10"/>
        <v>LANJUT</v>
      </c>
    </row>
    <row r="21">
      <c r="B21" s="1">
        <v>6.0</v>
      </c>
      <c r="C21" s="2">
        <f t="shared" si="11"/>
        <v>0.697192794</v>
      </c>
      <c r="D21" s="2">
        <f t="shared" si="12"/>
        <v>0.6972243377</v>
      </c>
      <c r="E21" s="2">
        <f t="shared" ref="E21:F21" si="17">FUNCSOAL4(C21)</f>
        <v>0.0001138219179</v>
      </c>
      <c r="F21" s="2">
        <f t="shared" si="17"/>
        <v>0.00000008868707102</v>
      </c>
      <c r="G21" s="2">
        <f t="shared" si="9"/>
        <v>0.6972243623</v>
      </c>
      <c r="H21" s="2">
        <f t="shared" si="14"/>
        <v>0.00000003527867716</v>
      </c>
      <c r="I21" s="2" t="str">
        <f t="shared" si="10"/>
        <v>LANJUT</v>
      </c>
    </row>
    <row r="22">
      <c r="B22" s="1">
        <v>7.0</v>
      </c>
      <c r="C22" s="2">
        <f t="shared" si="11"/>
        <v>0.6972243377</v>
      </c>
      <c r="D22" s="2">
        <f t="shared" si="12"/>
        <v>0.6972243623</v>
      </c>
      <c r="E22" s="2">
        <f t="shared" ref="E22:F22" si="18">FUNCSOAL4(C22)</f>
        <v>0.00000008868707102</v>
      </c>
      <c r="F22" s="2">
        <f t="shared" si="18"/>
        <v>0</v>
      </c>
      <c r="G22" s="2">
        <f t="shared" si="9"/>
        <v>0.6972243623</v>
      </c>
      <c r="H22" s="2">
        <f t="shared" si="14"/>
        <v>0</v>
      </c>
      <c r="I22" s="2" t="str">
        <f t="shared" si="10"/>
        <v>STOP</v>
      </c>
    </row>
  </sheetData>
  <drawing r:id="rId1"/>
</worksheet>
</file>